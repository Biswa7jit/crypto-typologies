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ypology_Glossary" sheetId="2" state="visible" r:id="rId4"/>
    <sheet name="Transactions" sheetId="3" state="visible" r:id="rId5"/>
    <sheet name="Wallet_Behavior_Analysis" sheetId="4" state="visible" r:id="rId6"/>
  </sheets>
  <definedNames>
    <definedName function="false" hidden="true" localSheetId="2" name="_xlnm._FilterDatabase" vbProcedure="false">Transactions!$A$1:$M$32</definedName>
    <definedName function="false" hidden="true" localSheetId="3" name="_xlnm._FilterDatabase" vbProcedure="false">Wallet_Behavior_Analysis!$A$1:$M$7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<sst xmlns="http://schemas.openxmlformats.org/spreadsheetml/2006/main" count="328" uniqueCount="208">
  <si>
    <t xml:space="preserve">Crypto Financial Crime Typologies — Reference &amp; Detection Logic</t>
  </si>
  <si>
    <t xml:space="preserve">Seven small, independent illustrative cases — one per crypto financial crime typology — each built so a simple, testable formula distinguishes it from the other six. Built entirely in Excel formulas. No Python, no SQL, no VBA.</t>
  </si>
  <si>
    <t xml:space="preserve">DATA NOTE: every wallet address, transaction hash, and the referenced 'Bridge Protocol X' and scam report number are fictional, generated for this demonstration.</t>
  </si>
  <si>
    <t xml:space="preserve">How to use this workbook:</t>
  </si>
  <si>
    <t xml:space="preserve">  1. 'Typology_Glossary' — definition, red flags, and real-world context for all 7 typologies.</t>
  </si>
  <si>
    <t xml:space="preserve">  2. 'Transactions' — all 31 transactions across the 7 mini-cases, with label-based detection flags computed directly (Mixer Exposure, Scam-Related Flow, Cross-Chain Movement).</t>
  </si>
  <si>
    <t xml:space="preserve">  3. 'Wallet_Behavior_Analysis' — the 6 'subject' wallets whose aggregate in/out behavior distinguishes the 4 structural typologies (Layering, Mule, Rapid Movement, Consolidation/Dispersal) from each other.</t>
  </si>
  <si>
    <t xml:space="preserve">Three of the seven typologies are detected by a LABEL on a single transaction (does the counterparty match something already known?) — Mixer Exposure, Scam-Related Flows, and Cross-Chain Movement. These are computed directly on the Transactions sheet.</t>
  </si>
  <si>
    <t xml:space="preserve">The other four are detected by a wallet's AGGREGATE BEHAVIOR across multiple transactions — Layering, Mule Wallets, Rapid Movement, and Consolidation/Dispersal. These four are genuinely easy to confuse with each other (they're all 'funds pass through a wallet' at a glance), so this workbook deliberately designs each mini-case so exactly one combination of (inbound count, outbound count, dwell time, value retention) flags true for its intended typology and false for the other three:</t>
  </si>
  <si>
    <t xml:space="preserve">  Typology                      | In count | Out count | Dwell time   | Value retention</t>
  </si>
  <si>
    <t xml:space="preserve">  Layering (one hop)            | 1        | 1         | &lt; 60 min     | &gt; 90%</t>
  </si>
  <si>
    <t xml:space="preserve">  Mule wallet                   | 4+       | 1         | &lt; 24 hours   | n/a</t>
  </si>
  <si>
    <t xml:space="preserve">  Rapid movement                | 3+       | 3+        | &lt; 10 min     | n/a</t>
  </si>
  <si>
    <t xml:space="preserve">  Consolidation/dispersal       | 3+       | 3+        | &gt;= 60 min    | n/a</t>
  </si>
  <si>
    <t xml:space="preserve">Key formulas used (all standard Excel, no add-ins, no VBA):</t>
  </si>
  <si>
    <t xml:space="preserve">  - ISNUMBER + SEARCH — label-based detection for Mixer Exposure, Scam-Related Flows, and Cross-Chain Movement.</t>
  </si>
  <si>
    <t xml:space="preserve">  - COUNTIF / SUMIF — counting inbound/outbound transactions and total value per wallet.</t>
  </si>
  <si>
    <t xml:space="preserve">  - MINIFS — finding each wallet's earliest inbound and earliest outbound timestamp, to compute dwell time.</t>
  </si>
  <si>
    <t xml:space="preserve">  - Nested IF / AND — turning the four behavioral metrics above into the four structural typology flags.</t>
  </si>
  <si>
    <t xml:space="preserve">typology</t>
  </si>
  <si>
    <t xml:space="preserve">definition</t>
  </si>
  <si>
    <t xml:space="preserve">key_red_flags</t>
  </si>
  <si>
    <t xml:space="preserve">real_world_context</t>
  </si>
  <si>
    <t xml:space="preserve">Layering through crypto</t>
  </si>
  <si>
    <t xml:space="preserve">Moving funds through a sequential chain of wallets, each one forwarding nearly all of what it received to the next, to put distance between the original source and the eventual destination.</t>
  </si>
  <si>
    <t xml:space="preserve">Single inbound + single outbound per wallet; short dwell time; minimal value decay (little going to fees/other uses); chain of 3+ such hops in succession.</t>
  </si>
  <si>
    <t xml:space="preserve">The crypto-native equivalent of layering cash through shell companies — the goal is purely to add hops, not to accomplish any other transaction purpose.</t>
  </si>
  <si>
    <t xml:space="preserve">Mule wallets</t>
  </si>
  <si>
    <t xml:space="preserve">A wallet that collects many small amounts from numerous unrelated sources, then forwards the consolidated total onward — typically controlled by someone recruited (often unknowingly) to move funds on behalf of others.</t>
  </si>
  <si>
    <t xml:space="preserve">Wallet with no prior history suddenly receiving from several distinct counterparties in a short window; each individual inbound amount is small enough to avoid attention; a single (or few) consolidated outbound transfer follows.</t>
  </si>
  <si>
    <t xml:space="preserve">Often tied to romance scams, job scams ('money mule' recruitment), or distributed fraud proceeds being gathered before cash-out.</t>
  </si>
  <si>
    <t xml:space="preserve">Rapid movement of funds</t>
  </si>
  <si>
    <t xml:space="preserve">Funds that pass through a wallet almost immediately upon receipt, repeated across multiple cycles, rather than being held as part of ordinary wallet activity.</t>
  </si>
  <si>
    <t xml:space="preserve">Minutes-long dwell time between an inbound and the next outbound transfer; repeated 3+ times; different counterparties each cycle, suggesting a pass-through/automation pattern rather than a one-off.</t>
  </si>
  <si>
    <t xml:space="preserve">Consistent with scripted or automated laundering infrastructure rather than a human manually managing a personal wallet.</t>
  </si>
  <si>
    <t xml:space="preserve">Wallet consolidation/dispersal</t>
  </si>
  <si>
    <t xml:space="preserve">A two-phase pattern: multiple wallets funnel funds INTO a hub (consolidation), which then, after an interval, sends funds OUT to a new set of wallets (dispersal) — commonly used to break the link between a group of source wallets and a group of destination wallets.</t>
  </si>
  <si>
    <t xml:space="preserve">Fan-in from 3+ distinct wallets followed by fan-out to 3+ distinct new wallets at the same hub, with a longer aggregation dwell time than rapid-movement pass-through activity.</t>
  </si>
  <si>
    <t xml:space="preserve">Frequently seen in both laundering operations and legitimate exchange/custodian treasury management — the distinguishing factor is usually the lack of any other legitimate business context for the wallet.</t>
  </si>
  <si>
    <t xml:space="preserve">Mixer exposure</t>
  </si>
  <si>
    <t xml:space="preserve">Direct interaction (deposit or withdrawal) with a non-custodial mixing/tumbling service, which is specifically designed to break deterministic on-chain traceability between the funds going in and the funds coming out.</t>
  </si>
  <si>
    <t xml:space="preserve">Counterparty address matches a known mixing service in a screening reference list. Critically: a withdrawal from a mixer can only be CORRELATED (by timing and amount) to a prior deposit, never provably linked on-chain.</t>
  </si>
  <si>
    <t xml:space="preserve">Legitimate privacy-seeking users exist, but mixer use is heavily overrepresented in laundering flows and is treated as a significant risk indicator by virtually every crypto compliance program.</t>
  </si>
  <si>
    <t xml:space="preserve">Scam/fraud-related flows</t>
  </si>
  <si>
    <t xml:space="preserve">Funds whose origin is a wallet that has been independently identified — via a victim report, law enforcement referral, or external database — as associated with a specific scam or fraud scheme.</t>
  </si>
  <si>
    <t xml:space="preserve">Source (or, later in the chain, an upstream) wallet matches an entry on an internal or external scam/fraud report list, regardless of what the transaction pattern itself looks like.</t>
  </si>
  <si>
    <t xml:space="preserve">This typology is detected by REFERENCE DATA (what's already known about a wallet), not by transaction pattern analysis — which is exactly why keeping that reference data current matters as much as the detection logic itself.</t>
  </si>
  <si>
    <t xml:space="preserve">Cross-chain movement</t>
  </si>
  <si>
    <t xml:space="preserve">Funds that leave the chain being monitored via a bridge protocol and reappear on a different blockchain, which breaks single-chain analytics tooling unless the investigator specifically correlates activity across chains.</t>
  </si>
  <si>
    <t xml:space="preserve">Outbound transaction to a known bridge contract address. The real investigative work happens off the monitored chain: confirming a correlated inbound arrival (by amount, net of bridge fee, and timing) on the destination chain.</t>
  </si>
  <si>
    <t xml:space="preserve">An increasingly common evasion technique precisely because most compliance tooling and most analysts' habitual workflow is single-chain — cross-chain movement exploits that gap in coverage, not a gap in the blockchain's transparency.</t>
  </si>
  <si>
    <t xml:space="preserve">case_id</t>
  </si>
  <si>
    <t xml:space="preserve">txhash</t>
  </si>
  <si>
    <t xml:space="preserve">datetime_utc</t>
  </si>
  <si>
    <t xml:space="preserve">from_address</t>
  </si>
  <si>
    <t xml:space="preserve">from_label</t>
  </si>
  <si>
    <t xml:space="preserve">to_address</t>
  </si>
  <si>
    <t xml:space="preserve">to_label</t>
  </si>
  <si>
    <t xml:space="preserve">value_eth</t>
  </si>
  <si>
    <t xml:space="preserve">notes</t>
  </si>
  <si>
    <t xml:space="preserve">flag_mixer_exposure</t>
  </si>
  <si>
    <t xml:space="preserve">flag_scam_related</t>
  </si>
  <si>
    <t xml:space="preserve">flag_cross_chain</t>
  </si>
  <si>
    <t xml:space="preserve">TYPO-1</t>
  </si>
  <si>
    <t xml:space="preserve">0xcabfcef8ac81c6b167e15ce4f4630e0853ccfdd55d3c2764d99f8f6e4a0f2e72</t>
  </si>
  <si>
    <t xml:space="preserve">0x4f37a3b656b358ac7d8a20da156b47e8bf145508</t>
  </si>
  <si>
    <t xml:space="preserve">Unattributed Source</t>
  </si>
  <si>
    <t xml:space="preserve">0x326a898a59a1e301fc446b2bf8267bacd521837f</t>
  </si>
  <si>
    <t xml:space="preserve">Intermediate Hop 1</t>
  </si>
  <si>
    <t xml:space="preserve">Hop 1 of 4</t>
  </si>
  <si>
    <t xml:space="preserve">0x4badd0a664d94cb3c5d999eb65bd61ac86fbb2d30470dd10d069e09750d7c5ee</t>
  </si>
  <si>
    <t xml:space="preserve">0x1c3bbeabd4a4084c5451878af71c8572f7242491</t>
  </si>
  <si>
    <t xml:space="preserve">Intermediate Hop 2</t>
  </si>
  <si>
    <t xml:space="preserve">Hop 2 of 4</t>
  </si>
  <si>
    <t xml:space="preserve">0x715d3d3c4034a2136a630d93e5e66b4dc99c6e460a4b9a9289f1bd110266dbd1</t>
  </si>
  <si>
    <t xml:space="preserve">0x58b1707e7f5b3dcefbc30bd36eb40d8db6d77c2e</t>
  </si>
  <si>
    <t xml:space="preserve">Intermediate Hop 3</t>
  </si>
  <si>
    <t xml:space="preserve">Hop 3 of 4</t>
  </si>
  <si>
    <t xml:space="preserve">0x438d614d77ea81e5f29832a0289dafa75c4b6060210fa53a9cdfdb1217dd53ea</t>
  </si>
  <si>
    <t xml:space="preserve">0xd7de2201ac8b3904e01a7d7ff9feddec1f68b993</t>
  </si>
  <si>
    <t xml:space="preserve">Final Sink</t>
  </si>
  <si>
    <t xml:space="preserve">Hop 4 of 4</t>
  </si>
  <si>
    <t xml:space="preserve">TYPO-2</t>
  </si>
  <si>
    <t xml:space="preserve">0xfeff06c9c9e2e540237e7b38d69c78523eb8eff8475cc279d36419be13ba5dc6</t>
  </si>
  <si>
    <t xml:space="preserve">0xd7f8ee039a404bae374a7a8270f5394507cac850</t>
  </si>
  <si>
    <t xml:space="preserve">Source Wallet 1 (Unrelated)</t>
  </si>
  <si>
    <t xml:space="preserve">0x120f84824907f93011168f9bc40fdae3c9dde3bd</t>
  </si>
  <si>
    <t xml:space="preserve">Mule Wallet (Hub)</t>
  </si>
  <si>
    <t xml:space="preserve">0x0c7d5c734bb20b734eeb86a6d526e2b8f86376974f96e63329886ed30e15d32f</t>
  </si>
  <si>
    <t xml:space="preserve">0x29882b77264be96add5e41b89f0f736a272b166f</t>
  </si>
  <si>
    <t xml:space="preserve">Source Wallet 2 (Unrelated)</t>
  </si>
  <si>
    <t xml:space="preserve">0x6e232e50a42c6363244731495f7b09a0aae7be3ab966552533654c7d214a8ab3</t>
  </si>
  <si>
    <t xml:space="preserve">0x532fd98256d2add81a3144dad0077c05d04e51fb</t>
  </si>
  <si>
    <t xml:space="preserve">Source Wallet 3 (Unrelated)</t>
  </si>
  <si>
    <t xml:space="preserve">0x729668447a7ca1664b010df212f874b1a646fb2e66ef4ac7b2c32f05f2ce2689</t>
  </si>
  <si>
    <t xml:space="preserve">0xfcff051135a6a47cf54fdafdef68c49164d4b00b</t>
  </si>
  <si>
    <t xml:space="preserve">Source Wallet 4 (Unrelated)</t>
  </si>
  <si>
    <t xml:space="preserve">0xf86586b870b5008e5c407c3b8251aec1e221839826599ccbe28e2f14cee8c435</t>
  </si>
  <si>
    <t xml:space="preserve">0x26a6e87a924dd06b71dae5c5c73c294e175b6f4c</t>
  </si>
  <si>
    <t xml:space="preserve">Source Wallet 5 (Unrelated)</t>
  </si>
  <si>
    <t xml:space="preserve">0xfc60f0892e5a649a4ec23d1fec759c046e6cbfca7be36065e4bff290fdd1945d</t>
  </si>
  <si>
    <t xml:space="preserve">0x69575a00d8fc4718f936fe49b21fea3d869093e3</t>
  </si>
  <si>
    <t xml:space="preserve">Cash-Out Wallet</t>
  </si>
  <si>
    <t xml:space="preserve">Consolidated forward of all 5 inbound amounts</t>
  </si>
  <si>
    <t xml:space="preserve">TYPO-3</t>
  </si>
  <si>
    <t xml:space="preserve">0x1a4aea7409d78458081d531060db939341533be002c712dc9e166f89e69d3c14</t>
  </si>
  <si>
    <t xml:space="preserve">0xa7b497ae1c8069f5b262e92d40d620a925c221a8</t>
  </si>
  <si>
    <t xml:space="preserve">Source P</t>
  </si>
  <si>
    <t xml:space="preserve">0x4d3152ae6f981f6a5cbeebe13289c590f3f2576a</t>
  </si>
  <si>
    <t xml:space="preserve">Pass-Through Wallet</t>
  </si>
  <si>
    <t xml:space="preserve">Cycle 1 inbound</t>
  </si>
  <si>
    <t xml:space="preserve">0x51988b5d73f400563b81b939cb32d29bf61e97f83586e707150165b69b7bbbff</t>
  </si>
  <si>
    <t xml:space="preserve">0x5f8d021434e1f7d8b1475857765ee439c97ac8a7</t>
  </si>
  <si>
    <t xml:space="preserve">Destination Q</t>
  </si>
  <si>
    <t xml:space="preserve">Cycle 1 outbound - 4 min dwell</t>
  </si>
  <si>
    <t xml:space="preserve">0x734f5c7cabc6e90ada47beba3bddf73968f157a1856dc8bb110e404b03592c99</t>
  </si>
  <si>
    <t xml:space="preserve">0x4cbf258364fd5bf8fa9dad72c8061da0895ce873</t>
  </si>
  <si>
    <t xml:space="preserve">Source S</t>
  </si>
  <si>
    <t xml:space="preserve">Cycle 2 inbound</t>
  </si>
  <si>
    <t xml:space="preserve">0x56d0f7cf36f6f725e09b2999c7f23189738c69ce19e7a38a18c501fae4cd9ea6</t>
  </si>
  <si>
    <t xml:space="preserve">0x02b4339be08444218b3e4c58a0a50d036882f77e</t>
  </si>
  <si>
    <t xml:space="preserve">Destination T</t>
  </si>
  <si>
    <t xml:space="preserve">Cycle 2 outbound - 3 min dwell</t>
  </si>
  <si>
    <t xml:space="preserve">0x23590dbbb077bbc1b695a85ad9c5a14d2fe67fe039b9f8ecf8d868893316c750</t>
  </si>
  <si>
    <t xml:space="preserve">0x3ac2f8bd4643675e07a960369d3282f20ae696ae</t>
  </si>
  <si>
    <t xml:space="preserve">Source U</t>
  </si>
  <si>
    <t xml:space="preserve">Cycle 3 inbound</t>
  </si>
  <si>
    <t xml:space="preserve">0x4311ccadfb10dec7381f7c7e9ff52e11382a668506d1ecf2ab94d3abb21ed80c</t>
  </si>
  <si>
    <t xml:space="preserve">0xb54bee1e9d39c3ce15bbd841e7e15ecdef1539be</t>
  </si>
  <si>
    <t xml:space="preserve">Destination V</t>
  </si>
  <si>
    <t xml:space="preserve">Cycle 3 outbound - 5 min dwell</t>
  </si>
  <si>
    <t xml:space="preserve">TYPO-4</t>
  </si>
  <si>
    <t xml:space="preserve">0xd91df14d5a434e10e03a69a265f61a73823f59654f7eb0c0b18855937b8c4f9f</t>
  </si>
  <si>
    <t xml:space="preserve">0x653783fa329a3ad4f257e2f8ca60364fd32a1077</t>
  </si>
  <si>
    <t xml:space="preserve">Collector Wallet 1</t>
  </si>
  <si>
    <t xml:space="preserve">0xfae02ac34586c4306a68063b6466c9da6301416e</t>
  </si>
  <si>
    <t xml:space="preserve">Consolidation Hub</t>
  </si>
  <si>
    <t xml:space="preserve">0xf2b03587dbfae4b221b67380721d012fa349d8e4a9819a0b37eb61074f3a94cc</t>
  </si>
  <si>
    <t xml:space="preserve">0xb99adcf30c1c7961ef1c93288bf3500fafd252c3</t>
  </si>
  <si>
    <t xml:space="preserve">Collector Wallet 2</t>
  </si>
  <si>
    <t xml:space="preserve">0x88b029988d161b4c710164ac92396f3ef54bd6713f77e4f6c67c9781e0af653a</t>
  </si>
  <si>
    <t xml:space="preserve">0x9a4563661967b218f90b94169816dfdd4ee28a84</t>
  </si>
  <si>
    <t xml:space="preserve">Collector Wallet 3</t>
  </si>
  <si>
    <t xml:space="preserve">0xe3c51f9507ed1ea025600710b334ba0cd8a48a1a0a930e364b5fdd4a836cc764</t>
  </si>
  <si>
    <t xml:space="preserve">0x89d6b814e37c01fff4d7166a0c968f381a0577ec</t>
  </si>
  <si>
    <t xml:space="preserve">Collector Wallet 4</t>
  </si>
  <si>
    <t xml:space="preserve">0x3ca46c4964dad5447439fe95bd320c54183228fc4eedc56ca9201453f9ab407f</t>
  </si>
  <si>
    <t xml:space="preserve">0xc125bf667208a03a1c5792132040e95aa30cb4b0</t>
  </si>
  <si>
    <t xml:space="preserve">Dispersal Wallet 1</t>
  </si>
  <si>
    <t xml:space="preserve">300 min after first inbound</t>
  </si>
  <si>
    <t xml:space="preserve">0x5fac74af24a14d5502e042ca28f7693fc3fe30499791c145d7c295b52ac6fe33</t>
  </si>
  <si>
    <t xml:space="preserve">0x2d16a04360b21a959acd5c62bd14bd2c22d7df79</t>
  </si>
  <si>
    <t xml:space="preserve">Dispersal Wallet 2</t>
  </si>
  <si>
    <t xml:space="preserve">0x8340e88f2b065057e1e6d32b4a7e30b460fd929c8e711d78c1374708470a69d5</t>
  </si>
  <si>
    <t xml:space="preserve">0x303f39daac6687ce9110a6f15f0ebe99e624455f</t>
  </si>
  <si>
    <t xml:space="preserve">Dispersal Wallet 3</t>
  </si>
  <si>
    <t xml:space="preserve">0x8a9a8eecc0c2ca578cfdcb46474d2ccc68dfb5462528d9774f813bd0f9226437</t>
  </si>
  <si>
    <t xml:space="preserve">0x01b08e51e99dd74f3bb3f0b92b7b02de7067a76c</t>
  </si>
  <si>
    <t xml:space="preserve">Dispersal Wallet 4</t>
  </si>
  <si>
    <t xml:space="preserve">0x63eaffcd8f8074a97b0a69ac8b814c0af10e43d6ee073770535b16d39404aed7</t>
  </si>
  <si>
    <t xml:space="preserve">0x48777209a19b841404e9f4d0ec49e029ebd6d978</t>
  </si>
  <si>
    <t xml:space="preserve">Dispersal Wallet 5</t>
  </si>
  <si>
    <t xml:space="preserve">TYPO-5</t>
  </si>
  <si>
    <t xml:space="preserve">0x8b0637dc9cc855e08135fc071774c4e90d3f53d986a1ffb8abde3cc2fbccbd1c</t>
  </si>
  <si>
    <t xml:space="preserve">0x96b8efb633d89bf523e469f2a25ea7cda11447af</t>
  </si>
  <si>
    <t xml:space="preserve">Wallet Prior to Mixer</t>
  </si>
  <si>
    <t xml:space="preserve">0xf36d66efd7ec31ea958ad172a27670d604596fe6</t>
  </si>
  <si>
    <t xml:space="preserve">Known Mixer - Deposit Address</t>
  </si>
  <si>
    <t xml:space="preserve">0x7df322f0da750e4ed99a326ff077846dc7eefdd1ced30efaf84f836be9a42c29</t>
  </si>
  <si>
    <t xml:space="preserve">0xf4b7d0a25e6166fe364cc7871496d1ca70fb16c0</t>
  </si>
  <si>
    <t xml:space="preserve">Known Mixer - Withdrawal Address</t>
  </si>
  <si>
    <t xml:space="preserve">0x848e4e97999972370450ddfc915b7267d9234fd2</t>
  </si>
  <si>
    <t xml:space="preserve">Wallet After Mixer</t>
  </si>
  <si>
    <t xml:space="preserve">Amount/timing consistent with the deposit, net of mixer fee — correlation only, not a proven on-chain link</t>
  </si>
  <si>
    <t xml:space="preserve">TYPO-6</t>
  </si>
  <si>
    <t xml:space="preserve">0xe90acf4e8558bc1f3add3ba9f7e37e7b3af61d5208a9f1928fdac0d245007495</t>
  </si>
  <si>
    <t xml:space="preserve">0x5ab8ce8d9e1bdf0ec07b455ec83c14405d3af43a</t>
  </si>
  <si>
    <t xml:space="preserve">Victim Wallet</t>
  </si>
  <si>
    <t xml:space="preserve">0x187c9e2a02c174edbe697dc31477e61f1196459a</t>
  </si>
  <si>
    <t xml:space="preserve">Reported Scam Wallet - Investment Fraud (Ext. Report #FR-2025-1182)</t>
  </si>
  <si>
    <t xml:space="preserve">Victim's funds arrive at the reported scam wallet</t>
  </si>
  <si>
    <t xml:space="preserve">0xf4f9318ef9be16ebb2a57ee14a5015bc93514396752049ed17d476a779cb82d4</t>
  </si>
  <si>
    <t xml:space="preserve">0xd4bb98b2a08a4bd3d733e48ada133998af3e0fc8</t>
  </si>
  <si>
    <t xml:space="preserve">Post-Scam Layering Wallet 1</t>
  </si>
  <si>
    <t xml:space="preserve">Proceeds begin moving immediately</t>
  </si>
  <si>
    <t xml:space="preserve">0xb725aa047b8406f80abe280e98e623ffddf0840a335a47ac5efdd6f88d48fa13</t>
  </si>
  <si>
    <t xml:space="preserve">0xe20c4f6cc19ef195ee8630b885b92ab029d1d38e</t>
  </si>
  <si>
    <t xml:space="preserve">Post-Scam Layering Wallet 2</t>
  </si>
  <si>
    <t xml:space="preserve">TYPO-7</t>
  </si>
  <si>
    <t xml:space="preserve">0x090a2a316c7112019198ed499efeeceb2475b296c2f92bd53b99ab44980bea4c</t>
  </si>
  <si>
    <t xml:space="preserve">0xb0e04345e85dbd6a0a6d7f8f13a8fa005966f0bc</t>
  </si>
  <si>
    <t xml:space="preserve">Wallet Prior to Bridge</t>
  </si>
  <si>
    <t xml:space="preserve">0x43d6df02d529d8f252b5550df5d2f8771102497e</t>
  </si>
  <si>
    <t xml:space="preserve">Cross-Chain Bridge Contract (Bridge Protocol X)</t>
  </si>
  <si>
    <t xml:space="preserve">Multi-chain monitoring subsequently observed a correlated inbound transfer, net of bridge fee, to a related wallet on a different chain — cross-chain correlation only, not a single-chain proof</t>
  </si>
  <si>
    <t xml:space="preserve">wallet_address</t>
  </si>
  <si>
    <t xml:space="preserve">wallet_label</t>
  </si>
  <si>
    <t xml:space="preserve">typology_demonstrated</t>
  </si>
  <si>
    <t xml:space="preserve">inbound_txn_count</t>
  </si>
  <si>
    <t xml:space="preserve">outbound_txn_count</t>
  </si>
  <si>
    <t xml:space="preserve">total_inbound_eth</t>
  </si>
  <si>
    <t xml:space="preserve">total_outbound_eth</t>
  </si>
  <si>
    <t xml:space="preserve">value_retention_pct</t>
  </si>
  <si>
    <t xml:space="preserve">dwell_minutes_first_in_to_first_out</t>
  </si>
  <si>
    <t xml:space="preserve">flag_layering</t>
  </si>
  <si>
    <t xml:space="preserve">flag_mule_wallet</t>
  </si>
  <si>
    <t xml:space="preserve">flag_rapid_movement</t>
  </si>
  <si>
    <t xml:space="preserve">flag_consolidation_dispersal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</si>
</sst>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0.00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35" hidden="false" customHeight="false" outlineLevel="0" collapsed="false">
      <c r="A1" s="2" t="s">
        <v>0</v>
      </c>
    </row>
    <row r="3" customFormat="false" ht="23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23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23.85" hidden="false" customHeight="false" outlineLevel="0" collapsed="false">
      <c r="A9" s="3" t="s">
        <v>5</v>
      </c>
    </row>
    <row r="10" customFormat="false" ht="23.8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/>
    </row>
    <row r="12" customFormat="false" ht="35.0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/>
    </row>
    <row r="14" customFormat="false" ht="46.25" hidden="false" customHeight="false" outlineLevel="0" collapsed="false">
      <c r="A14" s="3" t="s">
        <v>8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9</v>
      </c>
    </row>
    <row r="17" customFormat="false" ht="15" hidden="false" customHeight="false" outlineLevel="0" collapsed="false">
      <c r="A17" s="3" t="s">
        <v>10</v>
      </c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3" t="s">
        <v>12</v>
      </c>
    </row>
    <row r="20" customFormat="false" ht="15" hidden="false" customHeight="false" outlineLevel="0" collapsed="false">
      <c r="A20" s="3" t="s">
        <v>13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14</v>
      </c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3" t="s">
        <v>16</v>
      </c>
    </row>
    <row r="25" customFormat="false" ht="15" hidden="false" customHeight="false" outlineLevel="0" collapsed="false">
      <c r="A25" s="3" t="s">
        <v>17</v>
      </c>
    </row>
    <row r="26" customFormat="false" ht="15" hidden="false" customHeight="false" outlineLevel="0" collapsed="false">
      <c r="A26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50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</row>
    <row r="2" customFormat="false" ht="75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26</v>
      </c>
    </row>
    <row r="3" customFormat="false" ht="75" hidden="false" customHeight="true" outlineLevel="0" collapsed="false">
      <c r="A3" s="3" t="s">
        <v>27</v>
      </c>
      <c r="B3" s="3" t="s">
        <v>28</v>
      </c>
      <c r="C3" s="3" t="s">
        <v>29</v>
      </c>
      <c r="D3" s="3" t="s">
        <v>30</v>
      </c>
    </row>
    <row r="4" customFormat="false" ht="75" hidden="false" customHeight="true" outlineLevel="0" collapsed="false">
      <c r="A4" s="3" t="s">
        <v>31</v>
      </c>
      <c r="B4" s="3" t="s">
        <v>32</v>
      </c>
      <c r="C4" s="3" t="s">
        <v>33</v>
      </c>
      <c r="D4" s="3" t="s">
        <v>34</v>
      </c>
    </row>
    <row r="5" customFormat="false" ht="75" hidden="false" customHeight="true" outlineLevel="0" collapsed="false">
      <c r="A5" s="3" t="s">
        <v>35</v>
      </c>
      <c r="B5" s="3" t="s">
        <v>36</v>
      </c>
      <c r="C5" s="3" t="s">
        <v>37</v>
      </c>
      <c r="D5" s="3" t="s">
        <v>38</v>
      </c>
    </row>
    <row r="6" customFormat="false" ht="75" hidden="false" customHeight="true" outlineLevel="0" collapsed="false">
      <c r="A6" s="3" t="s">
        <v>39</v>
      </c>
      <c r="B6" s="3" t="s">
        <v>40</v>
      </c>
      <c r="C6" s="3" t="s">
        <v>41</v>
      </c>
      <c r="D6" s="3" t="s">
        <v>42</v>
      </c>
    </row>
    <row r="7" customFormat="false" ht="7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</row>
    <row r="8" customFormat="false" ht="75" hidden="false" customHeight="true" outlineLevel="0" collapsed="false">
      <c r="A8" s="3" t="s">
        <v>47</v>
      </c>
      <c r="B8" s="3" t="s">
        <v>48</v>
      </c>
      <c r="C8" s="3" t="s">
        <v>49</v>
      </c>
      <c r="D8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7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11"/>
    <col collapsed="false" customWidth="true" hidden="false" outlineLevel="0" max="10" min="10" style="1" width="44"/>
    <col collapsed="false" customWidth="true" hidden="false" outlineLevel="0" max="11" min="11" style="1" width="16"/>
    <col collapsed="false" customWidth="true" hidden="false" outlineLevel="0" max="12" min="12" style="1" width="15"/>
    <col collapsed="false" customWidth="true" hidden="false" outlineLevel="0" max="13" min="13" style="1" width="13"/>
  </cols>
  <sheetData>
    <row r="1" customFormat="false" ht="23.85" hidden="false" customHeight="false" outlineLevel="0" collapsed="false">
      <c r="A1" s="4" t="s">
        <v>51</v>
      </c>
      <c r="B1" s="4" t="s">
        <v>19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</row>
    <row r="2" customFormat="false" ht="15" hidden="false" customHeight="false" outlineLevel="0" collapsed="false">
      <c r="A2" s="5" t="s">
        <v>63</v>
      </c>
      <c r="B2" s="5" t="s">
        <v>23</v>
      </c>
      <c r="C2" s="6" t="s">
        <v>64</v>
      </c>
      <c r="D2" s="7" t="n">
        <v>46027.375</v>
      </c>
      <c r="E2" s="6" t="s">
        <v>65</v>
      </c>
      <c r="F2" s="5" t="s">
        <v>66</v>
      </c>
      <c r="G2" s="6" t="s">
        <v>67</v>
      </c>
      <c r="H2" s="5" t="s">
        <v>68</v>
      </c>
      <c r="I2" s="8" t="n">
        <v>25</v>
      </c>
      <c r="J2" s="3" t="s">
        <v>69</v>
      </c>
      <c r="K2" s="5" t="str">
        <f aca="false">IF(OR(ISNUMBER(SEARCH("Mixer",F2)),ISNUMBER(SEARCH("Mixer",H2))),"YES","NO")</f>
        <v>NO</v>
      </c>
      <c r="L2" s="5" t="str">
        <f aca="false">IF(OR(ISNUMBER(SEARCH("Reported Scam",F2)),ISNUMBER(SEARCH("Reported Scam",H2))),"YES","NO")</f>
        <v>NO</v>
      </c>
      <c r="M2" s="5" t="str">
        <f aca="false">IF(ISNUMBER(SEARCH("Bridge",H2)),"YES","NO")</f>
        <v>NO</v>
      </c>
    </row>
    <row r="3" customFormat="false" ht="15" hidden="false" customHeight="false" outlineLevel="0" collapsed="false">
      <c r="A3" s="5" t="s">
        <v>63</v>
      </c>
      <c r="B3" s="5" t="s">
        <v>23</v>
      </c>
      <c r="C3" s="6" t="s">
        <v>70</v>
      </c>
      <c r="D3" s="7" t="n">
        <v>46027.3854166667</v>
      </c>
      <c r="E3" s="6" t="s">
        <v>67</v>
      </c>
      <c r="F3" s="5" t="s">
        <v>68</v>
      </c>
      <c r="G3" s="6" t="s">
        <v>71</v>
      </c>
      <c r="H3" s="5" t="s">
        <v>72</v>
      </c>
      <c r="I3" s="8" t="n">
        <v>24.9</v>
      </c>
      <c r="J3" s="3" t="s">
        <v>73</v>
      </c>
      <c r="K3" s="5" t="str">
        <f aca="false">IF(OR(ISNUMBER(SEARCH("Mixer",F3)),ISNUMBER(SEARCH("Mixer",H3))),"YES","NO")</f>
        <v>NO</v>
      </c>
      <c r="L3" s="5" t="str">
        <f aca="false">IF(OR(ISNUMBER(SEARCH("Reported Scam",F3)),ISNUMBER(SEARCH("Reported Scam",H3))),"YES","NO")</f>
        <v>NO</v>
      </c>
      <c r="M3" s="5" t="str">
        <f aca="false">IF(ISNUMBER(SEARCH("Bridge",H3)),"YES","NO")</f>
        <v>NO</v>
      </c>
    </row>
    <row r="4" customFormat="false" ht="15" hidden="false" customHeight="false" outlineLevel="0" collapsed="false">
      <c r="A4" s="5" t="s">
        <v>63</v>
      </c>
      <c r="B4" s="5" t="s">
        <v>23</v>
      </c>
      <c r="C4" s="6" t="s">
        <v>74</v>
      </c>
      <c r="D4" s="7" t="n">
        <v>46027.3958333333</v>
      </c>
      <c r="E4" s="6" t="s">
        <v>71</v>
      </c>
      <c r="F4" s="5" t="s">
        <v>72</v>
      </c>
      <c r="G4" s="6" t="s">
        <v>75</v>
      </c>
      <c r="H4" s="5" t="s">
        <v>76</v>
      </c>
      <c r="I4" s="8" t="n">
        <v>24.8</v>
      </c>
      <c r="J4" s="3" t="s">
        <v>77</v>
      </c>
      <c r="K4" s="5" t="str">
        <f aca="false">IF(OR(ISNUMBER(SEARCH("Mixer",F4)),ISNUMBER(SEARCH("Mixer",H4))),"YES","NO")</f>
        <v>NO</v>
      </c>
      <c r="L4" s="5" t="str">
        <f aca="false">IF(OR(ISNUMBER(SEARCH("Reported Scam",F4)),ISNUMBER(SEARCH("Reported Scam",H4))),"YES","NO")</f>
        <v>NO</v>
      </c>
      <c r="M4" s="5" t="str">
        <f aca="false">IF(ISNUMBER(SEARCH("Bridge",H4)),"YES","NO")</f>
        <v>NO</v>
      </c>
    </row>
    <row r="5" customFormat="false" ht="15" hidden="false" customHeight="false" outlineLevel="0" collapsed="false">
      <c r="A5" s="5" t="s">
        <v>63</v>
      </c>
      <c r="B5" s="5" t="s">
        <v>23</v>
      </c>
      <c r="C5" s="6" t="s">
        <v>78</v>
      </c>
      <c r="D5" s="7" t="n">
        <v>46027.40625</v>
      </c>
      <c r="E5" s="6" t="s">
        <v>75</v>
      </c>
      <c r="F5" s="5" t="s">
        <v>76</v>
      </c>
      <c r="G5" s="6" t="s">
        <v>79</v>
      </c>
      <c r="H5" s="5" t="s">
        <v>80</v>
      </c>
      <c r="I5" s="8" t="n">
        <v>24.7</v>
      </c>
      <c r="J5" s="3" t="s">
        <v>81</v>
      </c>
      <c r="K5" s="5" t="str">
        <f aca="false">IF(OR(ISNUMBER(SEARCH("Mixer",F5)),ISNUMBER(SEARCH("Mixer",H5))),"YES","NO")</f>
        <v>NO</v>
      </c>
      <c r="L5" s="5" t="str">
        <f aca="false">IF(OR(ISNUMBER(SEARCH("Reported Scam",F5)),ISNUMBER(SEARCH("Reported Scam",H5))),"YES","NO")</f>
        <v>NO</v>
      </c>
      <c r="M5" s="5" t="str">
        <f aca="false">IF(ISNUMBER(SEARCH("Bridge",H5)),"YES","NO")</f>
        <v>NO</v>
      </c>
    </row>
    <row r="6" customFormat="false" ht="15" hidden="false" customHeight="false" outlineLevel="0" collapsed="false">
      <c r="A6" s="5" t="s">
        <v>82</v>
      </c>
      <c r="B6" s="5" t="s">
        <v>27</v>
      </c>
      <c r="C6" s="6" t="s">
        <v>83</v>
      </c>
      <c r="D6" s="7" t="n">
        <v>46032.3333333333</v>
      </c>
      <c r="E6" s="6" t="s">
        <v>84</v>
      </c>
      <c r="F6" s="5" t="s">
        <v>85</v>
      </c>
      <c r="G6" s="6" t="s">
        <v>86</v>
      </c>
      <c r="H6" s="5" t="s">
        <v>87</v>
      </c>
      <c r="I6" s="8" t="n">
        <v>1.2</v>
      </c>
      <c r="J6" s="3"/>
      <c r="K6" s="5" t="str">
        <f aca="false">IF(OR(ISNUMBER(SEARCH("Mixer",F6)),ISNUMBER(SEARCH("Mixer",H6))),"YES","NO")</f>
        <v>NO</v>
      </c>
      <c r="L6" s="5" t="str">
        <f aca="false">IF(OR(ISNUMBER(SEARCH("Reported Scam",F6)),ISNUMBER(SEARCH("Reported Scam",H6))),"YES","NO")</f>
        <v>NO</v>
      </c>
      <c r="M6" s="5" t="str">
        <f aca="false">IF(ISNUMBER(SEARCH("Bridge",H6)),"YES","NO")</f>
        <v>NO</v>
      </c>
    </row>
    <row r="7" customFormat="false" ht="15" hidden="false" customHeight="false" outlineLevel="0" collapsed="false">
      <c r="A7" s="5" t="s">
        <v>82</v>
      </c>
      <c r="B7" s="5" t="s">
        <v>27</v>
      </c>
      <c r="C7" s="6" t="s">
        <v>88</v>
      </c>
      <c r="D7" s="7" t="n">
        <v>46032.3416666667</v>
      </c>
      <c r="E7" s="6" t="s">
        <v>89</v>
      </c>
      <c r="F7" s="5" t="s">
        <v>90</v>
      </c>
      <c r="G7" s="6" t="s">
        <v>86</v>
      </c>
      <c r="H7" s="5" t="s">
        <v>87</v>
      </c>
      <c r="I7" s="8" t="n">
        <v>0.9</v>
      </c>
      <c r="J7" s="3"/>
      <c r="K7" s="5" t="str">
        <f aca="false">IF(OR(ISNUMBER(SEARCH("Mixer",F7)),ISNUMBER(SEARCH("Mixer",H7))),"YES","NO")</f>
        <v>NO</v>
      </c>
      <c r="L7" s="5" t="str">
        <f aca="false">IF(OR(ISNUMBER(SEARCH("Reported Scam",F7)),ISNUMBER(SEARCH("Reported Scam",H7))),"YES","NO")</f>
        <v>NO</v>
      </c>
      <c r="M7" s="5" t="str">
        <f aca="false">IF(ISNUMBER(SEARCH("Bridge",H7)),"YES","NO")</f>
        <v>NO</v>
      </c>
    </row>
    <row r="8" customFormat="false" ht="15" hidden="false" customHeight="false" outlineLevel="0" collapsed="false">
      <c r="A8" s="5" t="s">
        <v>82</v>
      </c>
      <c r="B8" s="5" t="s">
        <v>27</v>
      </c>
      <c r="C8" s="6" t="s">
        <v>91</v>
      </c>
      <c r="D8" s="7" t="n">
        <v>46032.3506944445</v>
      </c>
      <c r="E8" s="6" t="s">
        <v>92</v>
      </c>
      <c r="F8" s="5" t="s">
        <v>93</v>
      </c>
      <c r="G8" s="6" t="s">
        <v>86</v>
      </c>
      <c r="H8" s="5" t="s">
        <v>87</v>
      </c>
      <c r="I8" s="8" t="n">
        <v>1.5</v>
      </c>
      <c r="J8" s="3"/>
      <c r="K8" s="5" t="str">
        <f aca="false">IF(OR(ISNUMBER(SEARCH("Mixer",F8)),ISNUMBER(SEARCH("Mixer",H8))),"YES","NO")</f>
        <v>NO</v>
      </c>
      <c r="L8" s="5" t="str">
        <f aca="false">IF(OR(ISNUMBER(SEARCH("Reported Scam",F8)),ISNUMBER(SEARCH("Reported Scam",H8))),"YES","NO")</f>
        <v>NO</v>
      </c>
      <c r="M8" s="5" t="str">
        <f aca="false">IF(ISNUMBER(SEARCH("Bridge",H8)),"YES","NO")</f>
        <v>NO</v>
      </c>
    </row>
    <row r="9" customFormat="false" ht="15" hidden="false" customHeight="false" outlineLevel="0" collapsed="false">
      <c r="A9" s="5" t="s">
        <v>82</v>
      </c>
      <c r="B9" s="5" t="s">
        <v>27</v>
      </c>
      <c r="C9" s="6" t="s">
        <v>94</v>
      </c>
      <c r="D9" s="7" t="n">
        <v>46032.3611111111</v>
      </c>
      <c r="E9" s="6" t="s">
        <v>95</v>
      </c>
      <c r="F9" s="5" t="s">
        <v>96</v>
      </c>
      <c r="G9" s="6" t="s">
        <v>86</v>
      </c>
      <c r="H9" s="5" t="s">
        <v>87</v>
      </c>
      <c r="I9" s="8" t="n">
        <v>1.1</v>
      </c>
      <c r="J9" s="3"/>
      <c r="K9" s="5" t="str">
        <f aca="false">IF(OR(ISNUMBER(SEARCH("Mixer",F9)),ISNUMBER(SEARCH("Mixer",H9))),"YES","NO")</f>
        <v>NO</v>
      </c>
      <c r="L9" s="5" t="str">
        <f aca="false">IF(OR(ISNUMBER(SEARCH("Reported Scam",F9)),ISNUMBER(SEARCH("Reported Scam",H9))),"YES","NO")</f>
        <v>NO</v>
      </c>
      <c r="M9" s="5" t="str">
        <f aca="false">IF(ISNUMBER(SEARCH("Bridge",H9)),"YES","NO")</f>
        <v>NO</v>
      </c>
    </row>
    <row r="10" customFormat="false" ht="15" hidden="false" customHeight="false" outlineLevel="0" collapsed="false">
      <c r="A10" s="5" t="s">
        <v>82</v>
      </c>
      <c r="B10" s="5" t="s">
        <v>27</v>
      </c>
      <c r="C10" s="6" t="s">
        <v>97</v>
      </c>
      <c r="D10" s="7" t="n">
        <v>46032.3715277778</v>
      </c>
      <c r="E10" s="6" t="s">
        <v>98</v>
      </c>
      <c r="F10" s="5" t="s">
        <v>99</v>
      </c>
      <c r="G10" s="6" t="s">
        <v>86</v>
      </c>
      <c r="H10" s="5" t="s">
        <v>87</v>
      </c>
      <c r="I10" s="8" t="n">
        <v>0.8</v>
      </c>
      <c r="J10" s="3"/>
      <c r="K10" s="5" t="str">
        <f aca="false">IF(OR(ISNUMBER(SEARCH("Mixer",F10)),ISNUMBER(SEARCH("Mixer",H10))),"YES","NO")</f>
        <v>NO</v>
      </c>
      <c r="L10" s="5" t="str">
        <f aca="false">IF(OR(ISNUMBER(SEARCH("Reported Scam",F10)),ISNUMBER(SEARCH("Reported Scam",H10))),"YES","NO")</f>
        <v>NO</v>
      </c>
      <c r="M10" s="5" t="str">
        <f aca="false">IF(ISNUMBER(SEARCH("Bridge",H10)),"YES","NO")</f>
        <v>NO</v>
      </c>
    </row>
    <row r="11" customFormat="false" ht="15" hidden="false" customHeight="false" outlineLevel="0" collapsed="false">
      <c r="A11" s="5" t="s">
        <v>82</v>
      </c>
      <c r="B11" s="5" t="s">
        <v>27</v>
      </c>
      <c r="C11" s="6" t="s">
        <v>100</v>
      </c>
      <c r="D11" s="7" t="n">
        <v>46032.4375</v>
      </c>
      <c r="E11" s="6" t="s">
        <v>86</v>
      </c>
      <c r="F11" s="5" t="s">
        <v>87</v>
      </c>
      <c r="G11" s="6" t="s">
        <v>101</v>
      </c>
      <c r="H11" s="5" t="s">
        <v>102</v>
      </c>
      <c r="I11" s="8" t="n">
        <v>5.4</v>
      </c>
      <c r="J11" s="3" t="s">
        <v>103</v>
      </c>
      <c r="K11" s="5" t="str">
        <f aca="false">IF(OR(ISNUMBER(SEARCH("Mixer",F11)),ISNUMBER(SEARCH("Mixer",H11))),"YES","NO")</f>
        <v>NO</v>
      </c>
      <c r="L11" s="5" t="str">
        <f aca="false">IF(OR(ISNUMBER(SEARCH("Reported Scam",F11)),ISNUMBER(SEARCH("Reported Scam",H11))),"YES","NO")</f>
        <v>NO</v>
      </c>
      <c r="M11" s="5" t="str">
        <f aca="false">IF(ISNUMBER(SEARCH("Bridge",H11)),"YES","NO")</f>
        <v>NO</v>
      </c>
    </row>
    <row r="12" customFormat="false" ht="15" hidden="false" customHeight="false" outlineLevel="0" collapsed="false">
      <c r="A12" s="5" t="s">
        <v>104</v>
      </c>
      <c r="B12" s="5" t="s">
        <v>31</v>
      </c>
      <c r="C12" s="6" t="s">
        <v>105</v>
      </c>
      <c r="D12" s="7" t="n">
        <v>46034.4166666667</v>
      </c>
      <c r="E12" s="6" t="s">
        <v>106</v>
      </c>
      <c r="F12" s="5" t="s">
        <v>107</v>
      </c>
      <c r="G12" s="6" t="s">
        <v>108</v>
      </c>
      <c r="H12" s="5" t="s">
        <v>109</v>
      </c>
      <c r="I12" s="8" t="n">
        <v>10</v>
      </c>
      <c r="J12" s="3" t="s">
        <v>110</v>
      </c>
      <c r="K12" s="5" t="str">
        <f aca="false">IF(OR(ISNUMBER(SEARCH("Mixer",F12)),ISNUMBER(SEARCH("Mixer",H12))),"YES","NO")</f>
        <v>NO</v>
      </c>
      <c r="L12" s="5" t="str">
        <f aca="false">IF(OR(ISNUMBER(SEARCH("Reported Scam",F12)),ISNUMBER(SEARCH("Reported Scam",H12))),"YES","NO")</f>
        <v>NO</v>
      </c>
      <c r="M12" s="5" t="str">
        <f aca="false">IF(ISNUMBER(SEARCH("Bridge",H12)),"YES","NO")</f>
        <v>NO</v>
      </c>
    </row>
    <row r="13" customFormat="false" ht="15" hidden="false" customHeight="false" outlineLevel="0" collapsed="false">
      <c r="A13" s="5" t="s">
        <v>104</v>
      </c>
      <c r="B13" s="5" t="s">
        <v>31</v>
      </c>
      <c r="C13" s="6" t="s">
        <v>111</v>
      </c>
      <c r="D13" s="7" t="n">
        <v>46034.4194444444</v>
      </c>
      <c r="E13" s="6" t="s">
        <v>108</v>
      </c>
      <c r="F13" s="5" t="s">
        <v>109</v>
      </c>
      <c r="G13" s="6" t="s">
        <v>112</v>
      </c>
      <c r="H13" s="5" t="s">
        <v>113</v>
      </c>
      <c r="I13" s="8" t="n">
        <v>9.9</v>
      </c>
      <c r="J13" s="3" t="s">
        <v>114</v>
      </c>
      <c r="K13" s="5" t="str">
        <f aca="false">IF(OR(ISNUMBER(SEARCH("Mixer",F13)),ISNUMBER(SEARCH("Mixer",H13))),"YES","NO")</f>
        <v>NO</v>
      </c>
      <c r="L13" s="5" t="str">
        <f aca="false">IF(OR(ISNUMBER(SEARCH("Reported Scam",F13)),ISNUMBER(SEARCH("Reported Scam",H13))),"YES","NO")</f>
        <v>NO</v>
      </c>
      <c r="M13" s="5" t="str">
        <f aca="false">IF(ISNUMBER(SEARCH("Bridge",H13)),"YES","NO")</f>
        <v>NO</v>
      </c>
    </row>
    <row r="14" customFormat="false" ht="15" hidden="false" customHeight="false" outlineLevel="0" collapsed="false">
      <c r="A14" s="5" t="s">
        <v>104</v>
      </c>
      <c r="B14" s="5" t="s">
        <v>31</v>
      </c>
      <c r="C14" s="6" t="s">
        <v>115</v>
      </c>
      <c r="D14" s="7" t="n">
        <v>46034.4583333333</v>
      </c>
      <c r="E14" s="6" t="s">
        <v>116</v>
      </c>
      <c r="F14" s="5" t="s">
        <v>117</v>
      </c>
      <c r="G14" s="6" t="s">
        <v>108</v>
      </c>
      <c r="H14" s="5" t="s">
        <v>109</v>
      </c>
      <c r="I14" s="8" t="n">
        <v>8</v>
      </c>
      <c r="J14" s="3" t="s">
        <v>118</v>
      </c>
      <c r="K14" s="5" t="str">
        <f aca="false">IF(OR(ISNUMBER(SEARCH("Mixer",F14)),ISNUMBER(SEARCH("Mixer",H14))),"YES","NO")</f>
        <v>NO</v>
      </c>
      <c r="L14" s="5" t="str">
        <f aca="false">IF(OR(ISNUMBER(SEARCH("Reported Scam",F14)),ISNUMBER(SEARCH("Reported Scam",H14))),"YES","NO")</f>
        <v>NO</v>
      </c>
      <c r="M14" s="5" t="str">
        <f aca="false">IF(ISNUMBER(SEARCH("Bridge",H14)),"YES","NO")</f>
        <v>NO</v>
      </c>
    </row>
    <row r="15" customFormat="false" ht="15" hidden="false" customHeight="false" outlineLevel="0" collapsed="false">
      <c r="A15" s="5" t="s">
        <v>104</v>
      </c>
      <c r="B15" s="5" t="s">
        <v>31</v>
      </c>
      <c r="C15" s="6" t="s">
        <v>119</v>
      </c>
      <c r="D15" s="7" t="n">
        <v>46034.4604166667</v>
      </c>
      <c r="E15" s="6" t="s">
        <v>108</v>
      </c>
      <c r="F15" s="5" t="s">
        <v>109</v>
      </c>
      <c r="G15" s="6" t="s">
        <v>120</v>
      </c>
      <c r="H15" s="5" t="s">
        <v>121</v>
      </c>
      <c r="I15" s="8" t="n">
        <v>7.9</v>
      </c>
      <c r="J15" s="3" t="s">
        <v>122</v>
      </c>
      <c r="K15" s="5" t="str">
        <f aca="false">IF(OR(ISNUMBER(SEARCH("Mixer",F15)),ISNUMBER(SEARCH("Mixer",H15))),"YES","NO")</f>
        <v>NO</v>
      </c>
      <c r="L15" s="5" t="str">
        <f aca="false">IF(OR(ISNUMBER(SEARCH("Reported Scam",F15)),ISNUMBER(SEARCH("Reported Scam",H15))),"YES","NO")</f>
        <v>NO</v>
      </c>
      <c r="M15" s="5" t="str">
        <f aca="false">IF(ISNUMBER(SEARCH("Bridge",H15)),"YES","NO")</f>
        <v>NO</v>
      </c>
    </row>
    <row r="16" customFormat="false" ht="15" hidden="false" customHeight="false" outlineLevel="0" collapsed="false">
      <c r="A16" s="5" t="s">
        <v>104</v>
      </c>
      <c r="B16" s="5" t="s">
        <v>31</v>
      </c>
      <c r="C16" s="6" t="s">
        <v>123</v>
      </c>
      <c r="D16" s="7" t="n">
        <v>46034.6041666667</v>
      </c>
      <c r="E16" s="6" t="s">
        <v>124</v>
      </c>
      <c r="F16" s="5" t="s">
        <v>125</v>
      </c>
      <c r="G16" s="6" t="s">
        <v>108</v>
      </c>
      <c r="H16" s="5" t="s">
        <v>109</v>
      </c>
      <c r="I16" s="8" t="n">
        <v>12</v>
      </c>
      <c r="J16" s="3" t="s">
        <v>126</v>
      </c>
      <c r="K16" s="5" t="str">
        <f aca="false">IF(OR(ISNUMBER(SEARCH("Mixer",F16)),ISNUMBER(SEARCH("Mixer",H16))),"YES","NO")</f>
        <v>NO</v>
      </c>
      <c r="L16" s="5" t="str">
        <f aca="false">IF(OR(ISNUMBER(SEARCH("Reported Scam",F16)),ISNUMBER(SEARCH("Reported Scam",H16))),"YES","NO")</f>
        <v>NO</v>
      </c>
      <c r="M16" s="5" t="str">
        <f aca="false">IF(ISNUMBER(SEARCH("Bridge",H16)),"YES","NO")</f>
        <v>NO</v>
      </c>
    </row>
    <row r="17" customFormat="false" ht="15" hidden="false" customHeight="false" outlineLevel="0" collapsed="false">
      <c r="A17" s="5" t="s">
        <v>104</v>
      </c>
      <c r="B17" s="5" t="s">
        <v>31</v>
      </c>
      <c r="C17" s="6" t="s">
        <v>127</v>
      </c>
      <c r="D17" s="7" t="n">
        <v>46034.6076388889</v>
      </c>
      <c r="E17" s="6" t="s">
        <v>108</v>
      </c>
      <c r="F17" s="5" t="s">
        <v>109</v>
      </c>
      <c r="G17" s="6" t="s">
        <v>128</v>
      </c>
      <c r="H17" s="5" t="s">
        <v>129</v>
      </c>
      <c r="I17" s="8" t="n">
        <v>11.9</v>
      </c>
      <c r="J17" s="3" t="s">
        <v>130</v>
      </c>
      <c r="K17" s="5" t="str">
        <f aca="false">IF(OR(ISNUMBER(SEARCH("Mixer",F17)),ISNUMBER(SEARCH("Mixer",H17))),"YES","NO")</f>
        <v>NO</v>
      </c>
      <c r="L17" s="5" t="str">
        <f aca="false">IF(OR(ISNUMBER(SEARCH("Reported Scam",F17)),ISNUMBER(SEARCH("Reported Scam",H17))),"YES","NO")</f>
        <v>NO</v>
      </c>
      <c r="M17" s="5" t="str">
        <f aca="false">IF(ISNUMBER(SEARCH("Bridge",H17)),"YES","NO")</f>
        <v>NO</v>
      </c>
    </row>
    <row r="18" customFormat="false" ht="15" hidden="false" customHeight="false" outlineLevel="0" collapsed="false">
      <c r="A18" s="5" t="s">
        <v>131</v>
      </c>
      <c r="B18" s="5" t="s">
        <v>35</v>
      </c>
      <c r="C18" s="6" t="s">
        <v>132</v>
      </c>
      <c r="D18" s="7" t="n">
        <v>46037.375</v>
      </c>
      <c r="E18" s="6" t="s">
        <v>133</v>
      </c>
      <c r="F18" s="5" t="s">
        <v>134</v>
      </c>
      <c r="G18" s="6" t="s">
        <v>135</v>
      </c>
      <c r="H18" s="5" t="s">
        <v>136</v>
      </c>
      <c r="I18" s="8" t="n">
        <v>15</v>
      </c>
      <c r="J18" s="3"/>
      <c r="K18" s="5" t="str">
        <f aca="false">IF(OR(ISNUMBER(SEARCH("Mixer",F18)),ISNUMBER(SEARCH("Mixer",H18))),"YES","NO")</f>
        <v>NO</v>
      </c>
      <c r="L18" s="5" t="str">
        <f aca="false">IF(OR(ISNUMBER(SEARCH("Reported Scam",F18)),ISNUMBER(SEARCH("Reported Scam",H18))),"YES","NO")</f>
        <v>NO</v>
      </c>
      <c r="M18" s="5" t="str">
        <f aca="false">IF(ISNUMBER(SEARCH("Bridge",H18)),"YES","NO")</f>
        <v>NO</v>
      </c>
    </row>
    <row r="19" customFormat="false" ht="15" hidden="false" customHeight="false" outlineLevel="0" collapsed="false">
      <c r="A19" s="5" t="s">
        <v>131</v>
      </c>
      <c r="B19" s="5" t="s">
        <v>35</v>
      </c>
      <c r="C19" s="6" t="s">
        <v>137</v>
      </c>
      <c r="D19" s="7" t="n">
        <v>46037.3888888889</v>
      </c>
      <c r="E19" s="6" t="s">
        <v>138</v>
      </c>
      <c r="F19" s="5" t="s">
        <v>139</v>
      </c>
      <c r="G19" s="6" t="s">
        <v>135</v>
      </c>
      <c r="H19" s="5" t="s">
        <v>136</v>
      </c>
      <c r="I19" s="8" t="n">
        <v>18</v>
      </c>
      <c r="J19" s="3"/>
      <c r="K19" s="5" t="str">
        <f aca="false">IF(OR(ISNUMBER(SEARCH("Mixer",F19)),ISNUMBER(SEARCH("Mixer",H19))),"YES","NO")</f>
        <v>NO</v>
      </c>
      <c r="L19" s="5" t="str">
        <f aca="false">IF(OR(ISNUMBER(SEARCH("Reported Scam",F19)),ISNUMBER(SEARCH("Reported Scam",H19))),"YES","NO")</f>
        <v>NO</v>
      </c>
      <c r="M19" s="5" t="str">
        <f aca="false">IF(ISNUMBER(SEARCH("Bridge",H19)),"YES","NO")</f>
        <v>NO</v>
      </c>
    </row>
    <row r="20" customFormat="false" ht="15" hidden="false" customHeight="false" outlineLevel="0" collapsed="false">
      <c r="A20" s="5" t="s">
        <v>131</v>
      </c>
      <c r="B20" s="5" t="s">
        <v>35</v>
      </c>
      <c r="C20" s="6" t="s">
        <v>140</v>
      </c>
      <c r="D20" s="7" t="n">
        <v>46037.40625</v>
      </c>
      <c r="E20" s="6" t="s">
        <v>141</v>
      </c>
      <c r="F20" s="5" t="s">
        <v>142</v>
      </c>
      <c r="G20" s="6" t="s">
        <v>135</v>
      </c>
      <c r="H20" s="5" t="s">
        <v>136</v>
      </c>
      <c r="I20" s="8" t="n">
        <v>12</v>
      </c>
      <c r="J20" s="3"/>
      <c r="K20" s="5" t="str">
        <f aca="false">IF(OR(ISNUMBER(SEARCH("Mixer",F20)),ISNUMBER(SEARCH("Mixer",H20))),"YES","NO")</f>
        <v>NO</v>
      </c>
      <c r="L20" s="5" t="str">
        <f aca="false">IF(OR(ISNUMBER(SEARCH("Reported Scam",F20)),ISNUMBER(SEARCH("Reported Scam",H20))),"YES","NO")</f>
        <v>NO</v>
      </c>
      <c r="M20" s="5" t="str">
        <f aca="false">IF(ISNUMBER(SEARCH("Bridge",H20)),"YES","NO")</f>
        <v>NO</v>
      </c>
    </row>
    <row r="21" customFormat="false" ht="15" hidden="false" customHeight="false" outlineLevel="0" collapsed="false">
      <c r="A21" s="5" t="s">
        <v>131</v>
      </c>
      <c r="B21" s="5" t="s">
        <v>35</v>
      </c>
      <c r="C21" s="6" t="s">
        <v>143</v>
      </c>
      <c r="D21" s="7" t="n">
        <v>46037.4236111111</v>
      </c>
      <c r="E21" s="6" t="s">
        <v>144</v>
      </c>
      <c r="F21" s="5" t="s">
        <v>145</v>
      </c>
      <c r="G21" s="6" t="s">
        <v>135</v>
      </c>
      <c r="H21" s="5" t="s">
        <v>136</v>
      </c>
      <c r="I21" s="8" t="n">
        <v>20</v>
      </c>
      <c r="J21" s="3"/>
      <c r="K21" s="5" t="str">
        <f aca="false">IF(OR(ISNUMBER(SEARCH("Mixer",F21)),ISNUMBER(SEARCH("Mixer",H21))),"YES","NO")</f>
        <v>NO</v>
      </c>
      <c r="L21" s="5" t="str">
        <f aca="false">IF(OR(ISNUMBER(SEARCH("Reported Scam",F21)),ISNUMBER(SEARCH("Reported Scam",H21))),"YES","NO")</f>
        <v>NO</v>
      </c>
      <c r="M21" s="5" t="str">
        <f aca="false">IF(ISNUMBER(SEARCH("Bridge",H21)),"YES","NO")</f>
        <v>NO</v>
      </c>
    </row>
    <row r="22" customFormat="false" ht="15" hidden="false" customHeight="false" outlineLevel="0" collapsed="false">
      <c r="A22" s="5" t="s">
        <v>131</v>
      </c>
      <c r="B22" s="5" t="s">
        <v>35</v>
      </c>
      <c r="C22" s="6" t="s">
        <v>146</v>
      </c>
      <c r="D22" s="7" t="n">
        <v>46037.5833333333</v>
      </c>
      <c r="E22" s="6" t="s">
        <v>135</v>
      </c>
      <c r="F22" s="5" t="s">
        <v>136</v>
      </c>
      <c r="G22" s="6" t="s">
        <v>147</v>
      </c>
      <c r="H22" s="5" t="s">
        <v>148</v>
      </c>
      <c r="I22" s="8" t="n">
        <v>13</v>
      </c>
      <c r="J22" s="3" t="s">
        <v>149</v>
      </c>
      <c r="K22" s="5" t="str">
        <f aca="false">IF(OR(ISNUMBER(SEARCH("Mixer",F22)),ISNUMBER(SEARCH("Mixer",H22))),"YES","NO")</f>
        <v>NO</v>
      </c>
      <c r="L22" s="5" t="str">
        <f aca="false">IF(OR(ISNUMBER(SEARCH("Reported Scam",F22)),ISNUMBER(SEARCH("Reported Scam",H22))),"YES","NO")</f>
        <v>NO</v>
      </c>
      <c r="M22" s="5" t="str">
        <f aca="false">IF(ISNUMBER(SEARCH("Bridge",H22)),"YES","NO")</f>
        <v>NO</v>
      </c>
    </row>
    <row r="23" customFormat="false" ht="15" hidden="false" customHeight="false" outlineLevel="0" collapsed="false">
      <c r="A23" s="5" t="s">
        <v>131</v>
      </c>
      <c r="B23" s="5" t="s">
        <v>35</v>
      </c>
      <c r="C23" s="6" t="s">
        <v>150</v>
      </c>
      <c r="D23" s="7" t="n">
        <v>46037.5868055556</v>
      </c>
      <c r="E23" s="6" t="s">
        <v>135</v>
      </c>
      <c r="F23" s="5" t="s">
        <v>136</v>
      </c>
      <c r="G23" s="6" t="s">
        <v>151</v>
      </c>
      <c r="H23" s="5" t="s">
        <v>152</v>
      </c>
      <c r="I23" s="8" t="n">
        <v>13</v>
      </c>
      <c r="J23" s="3"/>
      <c r="K23" s="5" t="str">
        <f aca="false">IF(OR(ISNUMBER(SEARCH("Mixer",F23)),ISNUMBER(SEARCH("Mixer",H23))),"YES","NO")</f>
        <v>NO</v>
      </c>
      <c r="L23" s="5" t="str">
        <f aca="false">IF(OR(ISNUMBER(SEARCH("Reported Scam",F23)),ISNUMBER(SEARCH("Reported Scam",H23))),"YES","NO")</f>
        <v>NO</v>
      </c>
      <c r="M23" s="5" t="str">
        <f aca="false">IF(ISNUMBER(SEARCH("Bridge",H23)),"YES","NO")</f>
        <v>NO</v>
      </c>
    </row>
    <row r="24" customFormat="false" ht="15" hidden="false" customHeight="false" outlineLevel="0" collapsed="false">
      <c r="A24" s="5" t="s">
        <v>131</v>
      </c>
      <c r="B24" s="5" t="s">
        <v>35</v>
      </c>
      <c r="C24" s="6" t="s">
        <v>153</v>
      </c>
      <c r="D24" s="7" t="n">
        <v>46037.5902777778</v>
      </c>
      <c r="E24" s="6" t="s">
        <v>135</v>
      </c>
      <c r="F24" s="5" t="s">
        <v>136</v>
      </c>
      <c r="G24" s="6" t="s">
        <v>154</v>
      </c>
      <c r="H24" s="5" t="s">
        <v>155</v>
      </c>
      <c r="I24" s="8" t="n">
        <v>13</v>
      </c>
      <c r="J24" s="3"/>
      <c r="K24" s="5" t="str">
        <f aca="false">IF(OR(ISNUMBER(SEARCH("Mixer",F24)),ISNUMBER(SEARCH("Mixer",H24))),"YES","NO")</f>
        <v>NO</v>
      </c>
      <c r="L24" s="5" t="str">
        <f aca="false">IF(OR(ISNUMBER(SEARCH("Reported Scam",F24)),ISNUMBER(SEARCH("Reported Scam",H24))),"YES","NO")</f>
        <v>NO</v>
      </c>
      <c r="M24" s="5" t="str">
        <f aca="false">IF(ISNUMBER(SEARCH("Bridge",H24)),"YES","NO")</f>
        <v>NO</v>
      </c>
    </row>
    <row r="25" customFormat="false" ht="15" hidden="false" customHeight="false" outlineLevel="0" collapsed="false">
      <c r="A25" s="5" t="s">
        <v>131</v>
      </c>
      <c r="B25" s="5" t="s">
        <v>35</v>
      </c>
      <c r="C25" s="6" t="s">
        <v>156</v>
      </c>
      <c r="D25" s="7" t="n">
        <v>46037.59375</v>
      </c>
      <c r="E25" s="6" t="s">
        <v>135</v>
      </c>
      <c r="F25" s="5" t="s">
        <v>136</v>
      </c>
      <c r="G25" s="6" t="s">
        <v>157</v>
      </c>
      <c r="H25" s="5" t="s">
        <v>158</v>
      </c>
      <c r="I25" s="8" t="n">
        <v>13</v>
      </c>
      <c r="J25" s="3"/>
      <c r="K25" s="5" t="str">
        <f aca="false">IF(OR(ISNUMBER(SEARCH("Mixer",F25)),ISNUMBER(SEARCH("Mixer",H25))),"YES","NO")</f>
        <v>NO</v>
      </c>
      <c r="L25" s="5" t="str">
        <f aca="false">IF(OR(ISNUMBER(SEARCH("Reported Scam",F25)),ISNUMBER(SEARCH("Reported Scam",H25))),"YES","NO")</f>
        <v>NO</v>
      </c>
      <c r="M25" s="5" t="str">
        <f aca="false">IF(ISNUMBER(SEARCH("Bridge",H25)),"YES","NO")</f>
        <v>NO</v>
      </c>
    </row>
    <row r="26" customFormat="false" ht="15" hidden="false" customHeight="false" outlineLevel="0" collapsed="false">
      <c r="A26" s="5" t="s">
        <v>131</v>
      </c>
      <c r="B26" s="5" t="s">
        <v>35</v>
      </c>
      <c r="C26" s="6" t="s">
        <v>159</v>
      </c>
      <c r="D26" s="7" t="n">
        <v>46037.5972222222</v>
      </c>
      <c r="E26" s="6" t="s">
        <v>135</v>
      </c>
      <c r="F26" s="5" t="s">
        <v>136</v>
      </c>
      <c r="G26" s="6" t="s">
        <v>160</v>
      </c>
      <c r="H26" s="5" t="s">
        <v>161</v>
      </c>
      <c r="I26" s="8" t="n">
        <v>13</v>
      </c>
      <c r="J26" s="3"/>
      <c r="K26" s="5" t="str">
        <f aca="false">IF(OR(ISNUMBER(SEARCH("Mixer",F26)),ISNUMBER(SEARCH("Mixer",H26))),"YES","NO")</f>
        <v>NO</v>
      </c>
      <c r="L26" s="5" t="str">
        <f aca="false">IF(OR(ISNUMBER(SEARCH("Reported Scam",F26)),ISNUMBER(SEARCH("Reported Scam",H26))),"YES","NO")</f>
        <v>NO</v>
      </c>
      <c r="M26" s="5" t="str">
        <f aca="false">IF(ISNUMBER(SEARCH("Bridge",H26)),"YES","NO")</f>
        <v>NO</v>
      </c>
    </row>
    <row r="27" customFormat="false" ht="15" hidden="false" customHeight="false" outlineLevel="0" collapsed="false">
      <c r="A27" s="5" t="s">
        <v>162</v>
      </c>
      <c r="B27" s="5" t="s">
        <v>39</v>
      </c>
      <c r="C27" s="6" t="s">
        <v>163</v>
      </c>
      <c r="D27" s="7" t="n">
        <v>46040.8333333333</v>
      </c>
      <c r="E27" s="6" t="s">
        <v>164</v>
      </c>
      <c r="F27" s="5" t="s">
        <v>165</v>
      </c>
      <c r="G27" s="6" t="s">
        <v>166</v>
      </c>
      <c r="H27" s="5" t="s">
        <v>167</v>
      </c>
      <c r="I27" s="8" t="n">
        <v>50</v>
      </c>
      <c r="J27" s="3"/>
      <c r="K27" s="5" t="str">
        <f aca="false">IF(OR(ISNUMBER(SEARCH("Mixer",F27)),ISNUMBER(SEARCH("Mixer",H27))),"YES","NO")</f>
        <v>YES</v>
      </c>
      <c r="L27" s="5" t="str">
        <f aca="false">IF(OR(ISNUMBER(SEARCH("Reported Scam",F27)),ISNUMBER(SEARCH("Reported Scam",H27))),"YES","NO")</f>
        <v>NO</v>
      </c>
      <c r="M27" s="5" t="str">
        <f aca="false">IF(ISNUMBER(SEARCH("Bridge",H27)),"YES","NO")</f>
        <v>NO</v>
      </c>
    </row>
    <row r="28" customFormat="false" ht="35.05" hidden="false" customHeight="false" outlineLevel="0" collapsed="false">
      <c r="A28" s="5" t="s">
        <v>162</v>
      </c>
      <c r="B28" s="5" t="s">
        <v>39</v>
      </c>
      <c r="C28" s="6" t="s">
        <v>168</v>
      </c>
      <c r="D28" s="7" t="n">
        <v>46041.0520833333</v>
      </c>
      <c r="E28" s="6" t="s">
        <v>169</v>
      </c>
      <c r="F28" s="5" t="s">
        <v>170</v>
      </c>
      <c r="G28" s="6" t="s">
        <v>171</v>
      </c>
      <c r="H28" s="5" t="s">
        <v>172</v>
      </c>
      <c r="I28" s="8" t="n">
        <v>48.5</v>
      </c>
      <c r="J28" s="3" t="s">
        <v>173</v>
      </c>
      <c r="K28" s="5" t="str">
        <f aca="false">IF(OR(ISNUMBER(SEARCH("Mixer",F28)),ISNUMBER(SEARCH("Mixer",H28))),"YES","NO")</f>
        <v>YES</v>
      </c>
      <c r="L28" s="5" t="str">
        <f aca="false">IF(OR(ISNUMBER(SEARCH("Reported Scam",F28)),ISNUMBER(SEARCH("Reported Scam",H28))),"YES","NO")</f>
        <v>NO</v>
      </c>
      <c r="M28" s="5" t="str">
        <f aca="false">IF(ISNUMBER(SEARCH("Bridge",H28)),"YES","NO")</f>
        <v>NO</v>
      </c>
    </row>
    <row r="29" customFormat="false" ht="15" hidden="false" customHeight="false" outlineLevel="0" collapsed="false">
      <c r="A29" s="5" t="s">
        <v>174</v>
      </c>
      <c r="B29" s="5" t="s">
        <v>43</v>
      </c>
      <c r="C29" s="6" t="s">
        <v>175</v>
      </c>
      <c r="D29" s="7" t="n">
        <v>46044.6666666667</v>
      </c>
      <c r="E29" s="6" t="s">
        <v>176</v>
      </c>
      <c r="F29" s="5" t="s">
        <v>177</v>
      </c>
      <c r="G29" s="6" t="s">
        <v>178</v>
      </c>
      <c r="H29" s="5" t="s">
        <v>179</v>
      </c>
      <c r="I29" s="8" t="n">
        <v>7.5</v>
      </c>
      <c r="J29" s="3" t="s">
        <v>180</v>
      </c>
      <c r="K29" s="5" t="str">
        <f aca="false">IF(OR(ISNUMBER(SEARCH("Mixer",F29)),ISNUMBER(SEARCH("Mixer",H29))),"YES","NO")</f>
        <v>NO</v>
      </c>
      <c r="L29" s="5" t="str">
        <f aca="false">IF(OR(ISNUMBER(SEARCH("Reported Scam",F29)),ISNUMBER(SEARCH("Reported Scam",H29))),"YES","NO")</f>
        <v>YES</v>
      </c>
      <c r="M29" s="5" t="str">
        <f aca="false">IF(ISNUMBER(SEARCH("Bridge",H29)),"YES","NO")</f>
        <v>NO</v>
      </c>
    </row>
    <row r="30" customFormat="false" ht="15" hidden="false" customHeight="false" outlineLevel="0" collapsed="false">
      <c r="A30" s="5" t="s">
        <v>174</v>
      </c>
      <c r="B30" s="5" t="s">
        <v>43</v>
      </c>
      <c r="C30" s="6" t="s">
        <v>181</v>
      </c>
      <c r="D30" s="7" t="n">
        <v>46044.6805555556</v>
      </c>
      <c r="E30" s="6" t="s">
        <v>178</v>
      </c>
      <c r="F30" s="5" t="s">
        <v>179</v>
      </c>
      <c r="G30" s="6" t="s">
        <v>182</v>
      </c>
      <c r="H30" s="5" t="s">
        <v>183</v>
      </c>
      <c r="I30" s="8" t="n">
        <v>7.4</v>
      </c>
      <c r="J30" s="3" t="s">
        <v>184</v>
      </c>
      <c r="K30" s="5" t="str">
        <f aca="false">IF(OR(ISNUMBER(SEARCH("Mixer",F30)),ISNUMBER(SEARCH("Mixer",H30))),"YES","NO")</f>
        <v>NO</v>
      </c>
      <c r="L30" s="5" t="str">
        <f aca="false">IF(OR(ISNUMBER(SEARCH("Reported Scam",F30)),ISNUMBER(SEARCH("Reported Scam",H30))),"YES","NO")</f>
        <v>YES</v>
      </c>
      <c r="M30" s="5" t="str">
        <f aca="false">IF(ISNUMBER(SEARCH("Bridge",H30)),"YES","NO")</f>
        <v>NO</v>
      </c>
    </row>
    <row r="31" customFormat="false" ht="15" hidden="false" customHeight="false" outlineLevel="0" collapsed="false">
      <c r="A31" s="5" t="s">
        <v>174</v>
      </c>
      <c r="B31" s="5" t="s">
        <v>43</v>
      </c>
      <c r="C31" s="6" t="s">
        <v>185</v>
      </c>
      <c r="D31" s="7" t="n">
        <v>46044.6909722222</v>
      </c>
      <c r="E31" s="6" t="s">
        <v>182</v>
      </c>
      <c r="F31" s="5" t="s">
        <v>183</v>
      </c>
      <c r="G31" s="6" t="s">
        <v>186</v>
      </c>
      <c r="H31" s="5" t="s">
        <v>187</v>
      </c>
      <c r="I31" s="8" t="n">
        <v>7.3</v>
      </c>
      <c r="J31" s="3"/>
      <c r="K31" s="5" t="str">
        <f aca="false">IF(OR(ISNUMBER(SEARCH("Mixer",F31)),ISNUMBER(SEARCH("Mixer",H31))),"YES","NO")</f>
        <v>NO</v>
      </c>
      <c r="L31" s="5" t="str">
        <f aca="false">IF(OR(ISNUMBER(SEARCH("Reported Scam",F31)),ISNUMBER(SEARCH("Reported Scam",H31))),"YES","NO")</f>
        <v>NO</v>
      </c>
      <c r="M31" s="5" t="str">
        <f aca="false">IF(ISNUMBER(SEARCH("Bridge",H31)),"YES","NO")</f>
        <v>NO</v>
      </c>
    </row>
    <row r="32" customFormat="false" ht="46.25" hidden="false" customHeight="false" outlineLevel="0" collapsed="false">
      <c r="A32" s="5" t="s">
        <v>188</v>
      </c>
      <c r="B32" s="5" t="s">
        <v>47</v>
      </c>
      <c r="C32" s="6" t="s">
        <v>189</v>
      </c>
      <c r="D32" s="7" t="n">
        <v>46047.5</v>
      </c>
      <c r="E32" s="6" t="s">
        <v>190</v>
      </c>
      <c r="F32" s="5" t="s">
        <v>191</v>
      </c>
      <c r="G32" s="6" t="s">
        <v>192</v>
      </c>
      <c r="H32" s="5" t="s">
        <v>193</v>
      </c>
      <c r="I32" s="8" t="n">
        <v>22</v>
      </c>
      <c r="J32" s="3" t="s">
        <v>194</v>
      </c>
      <c r="K32" s="5" t="str">
        <f aca="false">IF(OR(ISNUMBER(SEARCH("Mixer",F32)),ISNUMBER(SEARCH("Mixer",H32))),"YES","NO")</f>
        <v>NO</v>
      </c>
      <c r="L32" s="5" t="str">
        <f aca="false">IF(OR(ISNUMBER(SEARCH("Reported Scam",F32)),ISNUMBER(SEARCH("Reported Scam",H32))),"YES","NO")</f>
        <v>NO</v>
      </c>
      <c r="M32" s="5" t="str">
        <f aca="false">IF(ISNUMBER(SEARCH("Bridge",H32)),"YES","NO")</f>
        <v>YES</v>
      </c>
    </row>
  </sheetData>
  <autoFilter ref="A1:M32"/>
  <conditionalFormatting sqref="A2:M32">
    <cfRule type="expression" priority="2" aboveAverage="0" equalAverage="0" bottom="0" percent="0" rank="0" text="" dxfId="5">
      <formula>$K2="YES"</formula>
    </cfRule>
    <cfRule type="expression" priority="3" aboveAverage="0" equalAverage="0" bottom="0" percent="0" rank="0" text="" dxfId="5">
      <formula>$L2="YES"</formula>
    </cfRule>
    <cfRule type="expression" priority="4" aboveAverage="0" equalAverage="0" bottom="0" percent="0" rank="0" text="" dxfId="5">
      <formula>$M2="YES"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5" min="4" style="1" width="11"/>
    <col collapsed="false" customWidth="true" hidden="false" outlineLevel="0" max="7" min="6" style="1" width="13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20"/>
  </cols>
  <sheetData>
    <row r="1" customFormat="false" ht="35.05" hidden="false" customHeight="false" outlineLevel="0" collapsed="false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</row>
    <row r="2" customFormat="false" ht="15" hidden="false" customHeight="false" outlineLevel="0" collapsed="false">
      <c r="A2" s="6" t="s">
        <v>67</v>
      </c>
      <c r="B2" s="5" t="s">
        <v>68</v>
      </c>
      <c r="C2" s="5" t="s">
        <v>23</v>
      </c>
      <c r="D2" s="5" t="n">
        <f aca="false">COUNTIF(Transactions!$G$2:$G$32,A2)</f>
        <v>1</v>
      </c>
      <c r="E2" s="5" t="n">
        <f aca="false">COUNTIF(Transactions!$E$2:$E$32,A2)</f>
        <v>1</v>
      </c>
      <c r="F2" s="8" t="n">
        <f aca="false">SUMIF(Transactions!$G$2:$G$32,A2,Transactions!$I$2:$I$32)</f>
        <v>25</v>
      </c>
      <c r="G2" s="8" t="n">
        <f aca="false">SUMIF(Transactions!$E$2:$E$32,A2,Transactions!$I$2:$I$32)</f>
        <v>24.9</v>
      </c>
      <c r="H2" s="9" t="n">
        <f aca="false">IF(F2=0,0,G2/F2)</f>
        <v>0.996</v>
      </c>
      <c r="I2" s="5" t="n">
        <f aca="false">ROUND((_xlfn.MINIFS(Transactions!$D$2:$D$32,Transactions!$E$2:$E$32,A2)-_xlfn.MINIFS(Transactions!$D$2:$D$32,Transactions!$G$2:$G$32,A2))*1440,1)</f>
        <v>15</v>
      </c>
      <c r="J2" s="5" t="str">
        <f aca="false">IF(AND(D2=1,E2=1,I2&lt;60,H2&gt;0.9),"YES","NO")</f>
        <v>YES</v>
      </c>
      <c r="K2" s="5" t="str">
        <f aca="false">IF(AND(D2&gt;=4,E2=1),"YES","NO")</f>
        <v>NO</v>
      </c>
      <c r="L2" s="5" t="str">
        <f aca="false">IF(AND(D2&gt;=3,E2&gt;=3,I2&lt;10),"YES","NO")</f>
        <v>NO</v>
      </c>
      <c r="M2" s="5" t="str">
        <f aca="false">IF(AND(D2&gt;=3,E2&gt;=3,I2&gt;=60),"YES","NO")</f>
        <v>NO</v>
      </c>
    </row>
    <row r="3" customFormat="false" ht="15" hidden="false" customHeight="false" outlineLevel="0" collapsed="false">
      <c r="A3" s="6" t="s">
        <v>71</v>
      </c>
      <c r="B3" s="5" t="s">
        <v>72</v>
      </c>
      <c r="C3" s="5" t="s">
        <v>23</v>
      </c>
      <c r="D3" s="5" t="n">
        <f aca="false">COUNTIF(Transactions!$G$2:$G$32,A3)</f>
        <v>1</v>
      </c>
      <c r="E3" s="5" t="n">
        <f aca="false">COUNTIF(Transactions!$E$2:$E$32,A3)</f>
        <v>1</v>
      </c>
      <c r="F3" s="8" t="n">
        <f aca="false">SUMIF(Transactions!$G$2:$G$32,A3,Transactions!$I$2:$I$32)</f>
        <v>24.9</v>
      </c>
      <c r="G3" s="8" t="n">
        <f aca="false">SUMIF(Transactions!$E$2:$E$32,A3,Transactions!$I$2:$I$32)</f>
        <v>24.8</v>
      </c>
      <c r="H3" s="9" t="n">
        <f aca="false">IF(F3=0,0,G3/F3)</f>
        <v>0.995983935742972</v>
      </c>
      <c r="I3" s="5" t="n">
        <f aca="false">ROUND((_xlfn.MINIFS(Transactions!$D$2:$D$32,Transactions!$E$2:$E$32,A3)-_xlfn.MINIFS(Transactions!$D$2:$D$32,Transactions!$G$2:$G$32,A3))*1440,1)</f>
        <v>15</v>
      </c>
      <c r="J3" s="5" t="str">
        <f aca="false">IF(AND(D3=1,E3=1,I3&lt;60,H3&gt;0.9),"YES","NO")</f>
        <v>YES</v>
      </c>
      <c r="K3" s="5" t="str">
        <f aca="false">IF(AND(D3&gt;=4,E3=1),"YES","NO")</f>
        <v>NO</v>
      </c>
      <c r="L3" s="5" t="str">
        <f aca="false">IF(AND(D3&gt;=3,E3&gt;=3,I3&lt;10),"YES","NO")</f>
        <v>NO</v>
      </c>
      <c r="M3" s="5" t="str">
        <f aca="false">IF(AND(D3&gt;=3,E3&gt;=3,I3&gt;=60),"YES","NO")</f>
        <v>NO</v>
      </c>
    </row>
    <row r="4" customFormat="false" ht="15" hidden="false" customHeight="false" outlineLevel="0" collapsed="false">
      <c r="A4" s="6" t="s">
        <v>75</v>
      </c>
      <c r="B4" s="5" t="s">
        <v>76</v>
      </c>
      <c r="C4" s="5" t="s">
        <v>23</v>
      </c>
      <c r="D4" s="5" t="n">
        <f aca="false">COUNTIF(Transactions!$G$2:$G$32,A4)</f>
        <v>1</v>
      </c>
      <c r="E4" s="5" t="n">
        <f aca="false">COUNTIF(Transactions!$E$2:$E$32,A4)</f>
        <v>1</v>
      </c>
      <c r="F4" s="8" t="n">
        <f aca="false">SUMIF(Transactions!$G$2:$G$32,A4,Transactions!$I$2:$I$32)</f>
        <v>24.8</v>
      </c>
      <c r="G4" s="8" t="n">
        <f aca="false">SUMIF(Transactions!$E$2:$E$32,A4,Transactions!$I$2:$I$32)</f>
        <v>24.7</v>
      </c>
      <c r="H4" s="9" t="n">
        <f aca="false">IF(F4=0,0,G4/F4)</f>
        <v>0.995967741935484</v>
      </c>
      <c r="I4" s="5" t="n">
        <f aca="false">ROUND((_xlfn.MINIFS(Transactions!$D$2:$D$32,Transactions!$E$2:$E$32,A4)-_xlfn.MINIFS(Transactions!$D$2:$D$32,Transactions!$G$2:$G$32,A4))*1440,1)</f>
        <v>15</v>
      </c>
      <c r="J4" s="5" t="str">
        <f aca="false">IF(AND(D4=1,E4=1,I4&lt;60,H4&gt;0.9),"YES","NO")</f>
        <v>YES</v>
      </c>
      <c r="K4" s="5" t="str">
        <f aca="false">IF(AND(D4&gt;=4,E4=1),"YES","NO")</f>
        <v>NO</v>
      </c>
      <c r="L4" s="5" t="str">
        <f aca="false">IF(AND(D4&gt;=3,E4&gt;=3,I4&lt;10),"YES","NO")</f>
        <v>NO</v>
      </c>
      <c r="M4" s="5" t="str">
        <f aca="false">IF(AND(D4&gt;=3,E4&gt;=3,I4&gt;=60),"YES","NO")</f>
        <v>NO</v>
      </c>
    </row>
    <row r="5" customFormat="false" ht="15" hidden="false" customHeight="false" outlineLevel="0" collapsed="false">
      <c r="A5" s="6" t="s">
        <v>86</v>
      </c>
      <c r="B5" s="5" t="s">
        <v>87</v>
      </c>
      <c r="C5" s="5" t="s">
        <v>27</v>
      </c>
      <c r="D5" s="5" t="n">
        <f aca="false">COUNTIF(Transactions!$G$2:$G$32,A5)</f>
        <v>5</v>
      </c>
      <c r="E5" s="5" t="n">
        <f aca="false">COUNTIF(Transactions!$E$2:$E$32,A5)</f>
        <v>1</v>
      </c>
      <c r="F5" s="8" t="n">
        <f aca="false">SUMIF(Transactions!$G$2:$G$32,A5,Transactions!$I$2:$I$32)</f>
        <v>5.5</v>
      </c>
      <c r="G5" s="8" t="n">
        <f aca="false">SUMIF(Transactions!$E$2:$E$32,A5,Transactions!$I$2:$I$32)</f>
        <v>5.4</v>
      </c>
      <c r="H5" s="9" t="n">
        <f aca="false">IF(F5=0,0,G5/F5)</f>
        <v>0.981818181818182</v>
      </c>
      <c r="I5" s="5" t="n">
        <f aca="false">ROUND((_xlfn.MINIFS(Transactions!$D$2:$D$32,Transactions!$E$2:$E$32,A5)-_xlfn.MINIFS(Transactions!$D$2:$D$32,Transactions!$G$2:$G$32,A5))*1440,1)</f>
        <v>150</v>
      </c>
      <c r="J5" s="5" t="str">
        <f aca="false">IF(AND(D5=1,E5=1,I5&lt;60,H5&gt;0.9),"YES","NO")</f>
        <v>NO</v>
      </c>
      <c r="K5" s="5" t="str">
        <f aca="false">IF(AND(D5&gt;=4,E5=1),"YES","NO")</f>
        <v>YES</v>
      </c>
      <c r="L5" s="5" t="str">
        <f aca="false">IF(AND(D5&gt;=3,E5&gt;=3,I5&lt;10),"YES","NO")</f>
        <v>NO</v>
      </c>
      <c r="M5" s="5" t="str">
        <f aca="false">IF(AND(D5&gt;=3,E5&gt;=3,I5&gt;=60),"YES","NO")</f>
        <v>NO</v>
      </c>
    </row>
    <row r="6" customFormat="false" ht="15" hidden="false" customHeight="false" outlineLevel="0" collapsed="false">
      <c r="A6" s="6" t="s">
        <v>108</v>
      </c>
      <c r="B6" s="5" t="s">
        <v>109</v>
      </c>
      <c r="C6" s="5" t="s">
        <v>31</v>
      </c>
      <c r="D6" s="5" t="n">
        <f aca="false">COUNTIF(Transactions!$G$2:$G$32,A6)</f>
        <v>3</v>
      </c>
      <c r="E6" s="5" t="n">
        <f aca="false">COUNTIF(Transactions!$E$2:$E$32,A6)</f>
        <v>3</v>
      </c>
      <c r="F6" s="8" t="n">
        <f aca="false">SUMIF(Transactions!$G$2:$G$32,A6,Transactions!$I$2:$I$32)</f>
        <v>30</v>
      </c>
      <c r="G6" s="8" t="n">
        <f aca="false">SUMIF(Transactions!$E$2:$E$32,A6,Transactions!$I$2:$I$32)</f>
        <v>29.7</v>
      </c>
      <c r="H6" s="9" t="n">
        <f aca="false">IF(F6=0,0,G6/F6)</f>
        <v>0.99</v>
      </c>
      <c r="I6" s="5" t="n">
        <f aca="false">ROUND((_xlfn.MINIFS(Transactions!$D$2:$D$32,Transactions!$E$2:$E$32,A6)-_xlfn.MINIFS(Transactions!$D$2:$D$32,Transactions!$G$2:$G$32,A6))*1440,1)</f>
        <v>4</v>
      </c>
      <c r="J6" s="5" t="str">
        <f aca="false">IF(AND(D6=1,E6=1,I6&lt;60,H6&gt;0.9),"YES","NO")</f>
        <v>NO</v>
      </c>
      <c r="K6" s="5" t="str">
        <f aca="false">IF(AND(D6&gt;=4,E6=1),"YES","NO")</f>
        <v>NO</v>
      </c>
      <c r="L6" s="5" t="str">
        <f aca="false">IF(AND(D6&gt;=3,E6&gt;=3,I6&lt;10),"YES","NO")</f>
        <v>YES</v>
      </c>
      <c r="M6" s="5" t="str">
        <f aca="false">IF(AND(D6&gt;=3,E6&gt;=3,I6&gt;=60),"YES","NO")</f>
        <v>NO</v>
      </c>
    </row>
    <row r="7" customFormat="false" ht="15" hidden="false" customHeight="false" outlineLevel="0" collapsed="false">
      <c r="A7" s="6" t="s">
        <v>135</v>
      </c>
      <c r="B7" s="5" t="s">
        <v>136</v>
      </c>
      <c r="C7" s="5" t="s">
        <v>35</v>
      </c>
      <c r="D7" s="5" t="n">
        <f aca="false">COUNTIF(Transactions!$G$2:$G$32,A7)</f>
        <v>4</v>
      </c>
      <c r="E7" s="5" t="n">
        <f aca="false">COUNTIF(Transactions!$E$2:$E$32,A7)</f>
        <v>5</v>
      </c>
      <c r="F7" s="8" t="n">
        <f aca="false">SUMIF(Transactions!$G$2:$G$32,A7,Transactions!$I$2:$I$32)</f>
        <v>65</v>
      </c>
      <c r="G7" s="8" t="n">
        <f aca="false">SUMIF(Transactions!$E$2:$E$32,A7,Transactions!$I$2:$I$32)</f>
        <v>65</v>
      </c>
      <c r="H7" s="9" t="n">
        <f aca="false">IF(F7=0,0,G7/F7)</f>
        <v>1</v>
      </c>
      <c r="I7" s="5" t="n">
        <f aca="false">ROUND((_xlfn.MINIFS(Transactions!$D$2:$D$32,Transactions!$E$2:$E$32,A7)-_xlfn.MINIFS(Transactions!$D$2:$D$32,Transactions!$G$2:$G$32,A7))*1440,1)</f>
        <v>300</v>
      </c>
      <c r="J7" s="5" t="str">
        <f aca="false">IF(AND(D7=1,E7=1,I7&lt;60,H7&gt;0.9),"YES","NO")</f>
        <v>NO</v>
      </c>
      <c r="K7" s="5" t="str">
        <f aca="false">IF(AND(D7&gt;=4,E7=1),"YES","NO")</f>
        <v>NO</v>
      </c>
      <c r="L7" s="5" t="str">
        <f aca="false">IF(AND(D7&gt;=3,E7&gt;=3,I7&lt;10),"YES","NO")</f>
        <v>NO</v>
      </c>
      <c r="M7" s="5" t="str">
        <f aca="false">IF(AND(D7&gt;=3,E7&gt;=3,I7&gt;=60),"YES","NO")</f>
        <v>YES</v>
      </c>
    </row>
  </sheetData>
  <autoFilter ref="A1:M7"/>
  <conditionalFormatting sqref="A2:M7">
    <cfRule type="expression" priority="2" aboveAverage="0" equalAverage="0" bottom="0" percent="0" rank="0" text="" dxfId="5">
      <formula>$J2="YES"</formula>
    </cfRule>
    <cfRule type="expression" priority="3" aboveAverage="0" equalAverage="0" bottom="0" percent="0" rank="0" text="" dxfId="5">
      <formula>$K2="YES"</formula>
    </cfRule>
    <cfRule type="expression" priority="4" aboveAverage="0" equalAverage="0" bottom="0" percent="0" rank="0" text="" dxfId="5">
      <formula>$L2="YES"</formula>
    </cfRule>
    <cfRule type="expression" priority="5" aboveAverage="0" equalAverage="0" bottom="0" percent="0" rank="0" text="" dxfId="5">
      <formula>$M2="YES"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2026-10-01T07:55:38Z</dcterms:created>
  <dc:creator>openpyxl</dc:creator>
  <dc:description/>
  <dc:language>en-US</dc:language>
  <cp:lastModifiedBy/>
  <dcterms:modified xsi:type="dcterms:W3CDTF">2026-10-01T07:55:38Z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